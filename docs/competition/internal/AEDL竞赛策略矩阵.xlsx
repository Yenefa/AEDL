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d2cb1c2cc8b43f7" /></Relationships>
</file>

<file path=xl/workbook.xml><?xml version="1.0" encoding="utf-8"?>
<x:workbook xmlns:x="http://schemas.openxmlformats.org/spreadsheetml/2006/main">
  <x:sheets>
    <x:sheet xmlns:r="http://schemas.openxmlformats.org/officeDocument/2006/relationships" name="评分策略" sheetId="1" r:id="Rd97a62f83e7c4f74"/>
    <x:sheet xmlns:r="http://schemas.openxmlformats.org/officeDocument/2006/relationships" name="论文贡献" sheetId="2" r:id="R7733c5edc4bc4d0e"/>
    <x:sheet xmlns:r="http://schemas.openxmlformats.org/officeDocument/2006/relationships" name="实验计划" sheetId="3" r:id="R65eeb00d2fae46c9"/>
    <x:sheet xmlns:r="http://schemas.openxmlformats.org/officeDocument/2006/relationships" name="投入与里程碑" sheetId="4" r:id="R45a1e42f75ae4a2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yyyy-mm-dd"/>
    <x:numFmt numFmtId="202" formatCode="0.0"/>
  </x:numFmts>
  <x:fonts count="6">
    <x:font>
      <x:sz val="11"/>
      <x:name val="Carlito"/>
    </x:font>
    <x:font>
      <x:sz val="11"/>
      <x:color rgb="FF172033"/>
      <x:name val="Arial"/>
    </x:font>
    <x:font>
      <x:b/>
      <x:sz val="17"/>
      <x:color rgb="FF172033"/>
      <x:name val="Arial"/>
    </x:font>
    <x:font>
      <x:sz val="11"/>
      <x:color rgb="FF536174"/>
      <x:name val="Arial"/>
    </x:font>
    <x:font>
      <x:b/>
      <x:sz val="11"/>
      <x:color rgb="FFFFFFFF"/>
      <x:name val="Arial"/>
    </x:font>
    <x:font>
      <x:b/>
      <x:sz val="11"/>
      <x:color rgb="FF172033"/>
      <x:name val="Arial"/>
    </x:font>
  </x:fonts>
  <x:fills count="7">
    <x:fill>
      <x:patternFill patternType="none"/>
    </x:fill>
    <x:fill>
      <x:patternFill patternType="gray125"/>
    </x:fill>
    <x:fill>
      <x:patternFill patternType="solid">
        <x:fgColor rgb="FF283C56"/>
      </x:patternFill>
    </x:fill>
    <x:fill>
      <x:patternFill patternType="solid">
        <x:fgColor rgb="FFFFFFFF"/>
      </x:patternFill>
    </x:fill>
    <x:fill>
      <x:patternFill patternType="solid">
        <x:fgColor rgb="FFF0F3F7"/>
      </x:patternFill>
    </x:fill>
    <x:fill>
      <x:patternFill patternType="solid">
        <x:fgColor rgb="FFFFF1C2"/>
      </x:patternFill>
    </x:fill>
    <x:fill>
      <x:patternFill patternType="solid">
        <x:fgColor rgb="FFE2E9F2"/>
      </x:patternFill>
    </x:fill>
  </x:fills>
  <x:borders count="2">
    <x:border/>
    <x:border>
      <x:bottom style="thin">
        <x:color rgb="FF8C9BAB"/>
      </x:bottom>
    </x:border>
  </x:borders>
  <x:cellStyleXfs count="1">
    <x:xf numFmtId="0" fontId="0" fillId="0" borderId="0"/>
  </x:cellStyleXfs>
  <x:cellXfs count="3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0"/>
    </x:xf>
    <x:xf numFmtId="0" fontId="3"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0"/>
    </x:xf>
    <x:xf numFmtId="0" fontId="1" fillId="0" borderId="1"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200" fontId="1" fillId="4" borderId="0" xfId="0" applyNumberFormat="1" applyFont="1" applyFill="1" applyBorder="1" applyAlignment="1">
      <x:alignment vertical="center" wrapText="1"/>
    </x:xf>
    <x:xf numFmtId="200" fontId="0" fillId="0" borderId="0" xfId="0" applyNumberFormat="1" applyFont="1" applyFill="1" applyBorder="1"/>
    <x:xf numFmtId="200" fontId="1" fillId="0" borderId="0" xfId="0" applyNumberFormat="1" applyFont="1" applyFill="1" applyBorder="1"/>
    <x:xf numFmtId="0" fontId="1" fillId="5" borderId="0" xfId="0" applyNumberFormat="1" applyFont="1" applyFill="1" applyBorder="1" applyAlignment="1">
      <x:alignment vertical="center" wrapText="1"/>
    </x:xf>
    <x:xf numFmtId="200" fontId="1" fillId="5" borderId="0" xfId="0" applyNumberFormat="1" applyFont="1" applyFill="1" applyBorder="1" applyAlignment="1">
      <x:alignment vertical="center" wrapText="1"/>
    </x:xf>
    <x:xf numFmtId="0" fontId="0" fillId="6" borderId="0" xfId="0" applyNumberFormat="1" applyFont="1" applyFill="1" applyBorder="1"/>
    <x:xf numFmtId="200" fontId="0" fillId="6" borderId="0" xfId="0" applyNumberFormat="1" applyFont="1" applyFill="1" applyBorder="1"/>
    <x:xf numFmtId="0" fontId="5" fillId="6" borderId="0" xfId="0" applyNumberFormat="1" applyFont="1" applyFill="1" applyBorder="1"/>
    <x:xf numFmtId="200" fontId="5" fillId="6"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1" fontId="1" fillId="0" borderId="0" xfId="0" applyNumberFormat="1" applyFont="1" applyFill="1" applyBorder="1"/>
    <x:xf numFmtId="202" fontId="1" fillId="0" borderId="0" xfId="0" applyNumberFormat="1" applyFont="1" applyFill="1" applyBorder="1"/>
    <x:xf numFmtId="201" fontId="1" fillId="0" borderId="0" xfId="0" applyNumberFormat="1" applyFont="1" applyFill="1" applyBorder="1" applyAlignment="1">
      <x:alignment wrapText="1"/>
    </x:xf>
    <x:xf numFmtId="200" fontId="1" fillId="0" borderId="0" xfId="0" applyNumberFormat="1" applyFont="1" applyFill="1" applyBorder="1" applyAlignment="1">
      <x:alignment wrapText="1"/>
    </x:xf>
    <x:xf numFmtId="202" fontId="1" fillId="0" borderId="0" xfId="0" applyNumberFormat="1" applyFont="1" applyFill="1" applyBorder="1" applyAlignment="1">
      <x:alignment wrapText="1"/>
    </x:xf>
    <x:xf numFmtId="201"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1" fontId="1" fillId="5"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530b0a1885f4603" /><Relationship Type="http://schemas.openxmlformats.org/officeDocument/2006/relationships/theme" Target="/xl/theme/theme1.xml" Id="Rfd3521b58e7e42b4" /><Relationship Type="http://schemas.openxmlformats.org/officeDocument/2006/relationships/sharedStrings" Target="/xl/sharedStrings.xml" Id="R9ecc649402bf494c" /><Relationship Type="http://schemas.openxmlformats.org/officeDocument/2006/relationships/worksheet" Target="/xl/worksheets/sheet1.xml" Id="Rd97a62f83e7c4f74" /><Relationship Type="http://schemas.openxmlformats.org/officeDocument/2006/relationships/worksheet" Target="/xl/worksheets/sheet2.xml" Id="R7733c5edc4bc4d0e" /><Relationship Type="http://schemas.openxmlformats.org/officeDocument/2006/relationships/worksheet" Target="/xl/worksheets/sheet3.xml" Id="R65eeb00d2fae46c9" /><Relationship Type="http://schemas.openxmlformats.org/officeDocument/2006/relationships/worksheet" Target="/xl/worksheets/sheet4.xml" Id="R45a1e42f75ae4a2f" /></Relationships>
</file>

<file path=xl/tables/table1.xml><?xml version="1.0" encoding="utf-8"?>
<x:table xmlns:x="http://schemas.openxmlformats.org/spreadsheetml/2006/main" id="1" name="ScoreStrategy" displayName="ScoreStrategy" ref="A4:H10" headerRowCount="1" totalsRowCount="0" totalsRowShown="0">
  <x:autoFilter ref="A4:H10"/>
  <x:tableColumns count="8">
    <x:tableColumn id="1" name="评分项"/>
    <x:tableColumn id="2" name="满分"/>
    <x:tableColumn id="3" name="官方高分档"/>
    <x:tableColumn id="4" name="得分打法"/>
    <x:tableColumn id="5" name="当前证据与缺口"/>
    <x:tableColumn id="6" name="需要交付的证据"/>
    <x:tableColumn id="7" name="关联实验"/>
    <x:tableColumn id="8" name="官方来源"/>
  </x:tableColumns>
  <x:tableStyleInfo name="TableStyleMedium2" showFirstColumn="0" showLastColumn="0" showRowStripes="1" showColumnStripes="0"/>
</x:table>
</file>

<file path=xl/tables/table2.xml><?xml version="1.0" encoding="utf-8"?>
<x:table xmlns:x="http://schemas.openxmlformats.org/spreadsheetml/2006/main" id="2" name="PaperContributions" displayName="PaperContributions" ref="A4:I14" headerRowCount="1" totalsRowCount="0" totalsRowShown="0">
  <x:autoFilter ref="A4:I14"/>
  <x:tableColumns count="9">
    <x:tableColumn id="1" name="论文"/>
    <x:tableColumn id="2" name="取舍"/>
    <x:tableColumn id="3" name="贡献及 AEDL 要补的内容"/>
    <x:tableColumn id="4" name="原作边界与不做的部分"/>
    <x:tableColumn id="5" name="评分关联"/>
    <x:tableColumn id="6" name="关联实验"/>
    <x:tableColumn id="7" name="论文原文／版本"/>
    <x:tableColumn id="8" name="代码或产品来源"/>
    <x:tableColumn id="9" name="许可及本期复用方式"/>
  </x:tableColumns>
  <x:tableStyleInfo name="TableStyleMedium2" showFirstColumn="0" showLastColumn="0" showRowStripes="1" showColumnStripes="0"/>
</x:table>
</file>

<file path=xl/tables/table3.xml><?xml version="1.0" encoding="utf-8"?>
<x:table xmlns:x="http://schemas.openxmlformats.org/spreadsheetml/2006/main" id="3" name="ExperimentPlan" displayName="ExperimentPlan" ref="A4:H10" headerRowCount="1" totalsRowCount="0" totalsRowShown="0">
  <x:autoFilter ref="A4:H10"/>
  <x:tableColumns count="8">
    <x:tableColumn id="1" name="编号"/>
    <x:tableColumn id="2" name="实验与优先级"/>
    <x:tableColumn id="3" name="样本与实验任务"/>
    <x:tableColumn id="4" name="对照与执行方法"/>
    <x:tableColumn id="5" name="指标及输出证据"/>
    <x:tableColumn id="6" name="判定原则与解释边界"/>
    <x:tableColumn id="7" name="评分关联"/>
    <x:tableColumn id="8" name="工时归属／依赖"/>
  </x:tableColumns>
  <x:tableStyleInfo name="TableStyleMedium2" showFirstColumn="0" showLastColumn="0" showRowStripes="1" showColumnStripes="0"/>
</x:table>
</file>

<file path=xl/tables/table4.xml><?xml version="1.0" encoding="utf-8"?>
<x:table xmlns:x="http://schemas.openxmlformats.org/spreadsheetml/2006/main" id="4" name="WorkPackages" displayName="WorkPackages" ref="A4:H10" headerRowCount="1" totalsRowCount="0" totalsRowShown="0">
  <x:autoFilter ref="A4:H10"/>
  <x:tableColumns count="8">
    <x:tableColumn id="1" name="工作包"/>
    <x:tableColumn id="2" name="交付内容"/>
    <x:tableColumn id="3" name="你／人时"/>
    <x:tableColumn id="4" name="搭档／人时"/>
    <x:tableColumn id="5" name="合计／人时"/>
    <x:tableColumn id="6" name="目标时间"/>
    <x:tableColumn id="7" name="完成条件"/>
    <x:tableColumn id="8" name="关联论文／实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9a5b1e5a7f44db3" /></Relationships>
</file>

<file path=xl/worksheets/_rels/sheet2.xml.rels>&#65279;<?xml version="1.0" encoding="utf-8"?><Relationships xmlns="http://schemas.openxmlformats.org/package/2006/relationships"><Relationship Type="http://schemas.openxmlformats.org/officeDocument/2006/relationships/table" Target="/xl/tables/table2.xml" Id="R30a934352cc447a7" /></Relationships>
</file>

<file path=xl/worksheets/_rels/sheet3.xml.rels>&#65279;<?xml version="1.0" encoding="utf-8"?><Relationships xmlns="http://schemas.openxmlformats.org/package/2006/relationships"><Relationship Type="http://schemas.openxmlformats.org/officeDocument/2006/relationships/table" Target="/xl/tables/table3.xml" Id="Rc8debee0d77f4f87" /></Relationships>
</file>

<file path=xl/worksheets/_rels/sheet4.xml.rels>&#65279;<?xml version="1.0" encoding="utf-8"?><Relationships xmlns="http://schemas.openxmlformats.org/package/2006/relationships"><Relationship Type="http://schemas.openxmlformats.org/officeDocument/2006/relationships/table" Target="/xl/tables/table4.xml" Id="R0453f147dda84e2d" /></Relationships>
</file>

<file path=xl/worksheets/sheet1.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0.6299991607666" hidden="0" customWidth="1"/>
    <x:col min="2" max="2" width="8.130000114440918" hidden="0" customWidth="1"/>
    <x:col min="3" max="3" width="11.880000114440918" hidden="0" customWidth="1"/>
    <x:col min="4" max="4" width="41.25" hidden="0" customWidth="1"/>
    <x:col min="5" max="5" width="41.25" hidden="0" customWidth="1"/>
    <x:col min="6" max="6" width="41.25" hidden="0" customWidth="1"/>
    <x:col min="7" max="7" width="13.75" hidden="0" customWidth="1"/>
    <x:col min="8" max="8" width="40" hidden="0" customWidth="1"/>
  </x:cols>
  <x:sheetData>
    <x:row r="1" ht="27" customHeight="1">
      <x:c r="A1" s="5" t="str">
        <x:v>AEDL 竞赛策略矩阵｜按评分证据投入</x:v>
      </x:c>
      <x:c r="B1" s="3"/>
      <x:c r="C1" s="3"/>
      <x:c r="D1" s="3"/>
      <x:c r="E1" s="3"/>
      <x:c r="F1" s="3"/>
      <x:c r="G1" s="3"/>
      <x:c r="H1" s="3"/>
    </x:row>
    <x:row r="2" ht="20.25" customHeight="1">
      <x:c r="A2" s="7" t="str">
        <x:v>AI+开源；以高分档所需证据为目标，不预测评委分数。资料核查日：2026-09-06。</x:v>
      </x:c>
      <x:c r="B2" s="3"/>
      <x:c r="C2" s="3"/>
      <x:c r="D2" s="3"/>
      <x:c r="E2" s="3"/>
      <x:c r="F2" s="3"/>
      <x:c r="G2" s="3"/>
      <x:c r="H2" s="3"/>
    </x:row>
    <x:row r="3" ht="6.75" customHeight="1">
      <x:c r="A3" s="8"/>
      <x:c r="B3" s="8"/>
      <x:c r="C3" s="8"/>
      <x:c r="D3" s="8"/>
      <x:c r="E3" s="8"/>
      <x:c r="F3" s="8"/>
      <x:c r="G3" s="8"/>
      <x:c r="H3" s="8"/>
    </x:row>
    <x:row r="4" ht="30" customHeight="1">
      <x:c r="A4" s="10" t="str">
        <x:v>评分项</x:v>
      </x:c>
      <x:c r="B4" s="10" t="str">
        <x:v>满分</x:v>
      </x:c>
      <x:c r="C4" s="10" t="str">
        <x:v>官方高分档</x:v>
      </x:c>
      <x:c r="D4" s="10" t="str">
        <x:v>得分打法</x:v>
      </x:c>
      <x:c r="E4" s="10" t="str">
        <x:v>当前证据与缺口</x:v>
      </x:c>
      <x:c r="F4" s="10" t="str">
        <x:v>需要交付的证据</x:v>
      </x:c>
      <x:c r="G4" s="10" t="str">
        <x:v>关联实验</x:v>
      </x:c>
      <x:c r="H4" s="10" t="str">
        <x:v>官方来源</x:v>
      </x:c>
    </x:row>
    <x:row r="5" ht="117" customHeight="1">
      <x:c r="A5" s="13" t="str">
        <x:v>S1 问题与场景价值</x:v>
      </x:c>
      <x:c r="B5" s="15" t="n">
        <x:v>15</x:v>
      </x:c>
      <x:c r="C5" s="11" t="str">
        <x:v>11–15</x:v>
      </x:c>
      <x:c r="D5" s="11" t="str">
        <x:v>锁定学生电子团队：AI 辅助设计后，接线、器件要求与交付文件可能一起出错。用真实失误和用户任务说明代价。</x:v>
      </x:c>
      <x:c r="E5" s="11" t="str">
        <x:v>M2 历史失误可追溯；尚无独立用户测量。不能用行业宏大叙事替代需求证据。</x:v>
      </x:c>
      <x:c r="F5" s="11" t="str">
        <x:v>2 个有来源的失误案例；3–5 名目标用户的匿名任务记录、耗时与反馈；明确适用范围。</x:v>
      </x:c>
      <x:c r="G5" s="11" t="str">
        <x:v>E1、E5</x:v>
      </x:c>
      <x:c r="H5" s="11" t="str">
        <x:v>https://www.aicomp.cn/wp-content/uploads/2026/08/%E9%99%84%E4%BB%B61_AIC%C2%B7AI%E5%BC%80%E6%BA%90%E7%AB%9E%E8%B5%9B%E8%A7%84%E5%88%99%E5%8F%8A%E4%BD%9C%E5%93%81%E6%8F%90%E4%BA%A4%E8%A6%81%E6%B1%820812.pdf</x:v>
      </x:c>
    </x:row>
    <x:row r="6" ht="117" customHeight="1">
      <x:c r="A6" s="14" t="str">
        <x:v>S2 创新性与方案设计</x:v>
      </x:c>
      <x:c r="B6" s="16" t="n">
        <x:v>20</x:v>
      </x:c>
      <x:c r="C6" s="12" t="str">
        <x:v>14–20</x:v>
      </x:c>
      <x:c r="D6" s="12" t="str">
        <x:v>自主贡献聚焦：资料支持的引脚角色判据；允许目标网络变化、保护其他关系的补丁约束；重新检查交付文件。</x:v>
      </x:c>
      <x:c r="E6" s="12" t="str">
        <x:v>修复循环已有大量前作。现有 sandbox 为测试流程，预设候选池不能证明通用 AI 修复。</x:v>
      </x:c>
      <x:c r="F6" s="12" t="str">
        <x:v>上游能力／AEDL 新增能力对照；修复前后差异；受约束修复与无保护方式的对比。</x:v>
      </x:c>
      <x:c r="G6" s="12" t="str">
        <x:v>E2、E3</x:v>
      </x:c>
      <x:c r="H6" s="12" t="str">
        <x:v>https://www.aicomp.cn/wp-content/uploads/2026/08/%E9%99%84%E4%BB%B61_AIC%C2%B7AI%E5%BC%80%E6%BA%90%E7%AB%9E%E8%B5%9B%E8%A7%84%E5%88%99%E5%8F%8A%E4%BD%9C%E5%93%81%E6%8F%90%E4%BA%A4%E8%A6%81%E6%B1%820812.pdf</x:v>
      </x:c>
    </x:row>
    <x:row r="7" ht="117" customHeight="1">
      <x:c r="A7" s="13" t="str">
        <x:v>S3 AI 与开源融合</x:v>
      </x:c>
      <x:c r="B7" s="15" t="n">
        <x:v>20</x:v>
      </x:c>
      <x:c r="C7" s="11" t="str">
        <x:v>14–20</x:v>
      </x:c>
      <x:c r="D7" s="11" t="str">
        <x:v>AI 根据事实和错误定位生成小补丁；KiCad 与规则工具执行验收。用消融对照说明 AI 的增益、哪些修复应交给脚本。</x:v>
      </x:c>
      <x:c r="E7" s="11" t="str">
        <x:v>akcli 0.21.0 原生文件操作已小范围实测；真实 LLM 修复尚未执行。依赖列表本身不能证明融合深度。</x:v>
      </x:c>
      <x:c r="F7" s="11" t="str">
        <x:v>固定版本的 AI 对照记录；调用与费用日志；资源版本、许可、融合位置及自主修改清单。</x:v>
      </x:c>
      <x:c r="G7" s="11" t="str">
        <x:v>E2、E4</x:v>
      </x:c>
      <x:c r="H7" s="11" t="str">
        <x:v>https://www.aicomp.cn/wp-content/uploads/2026/08/%E9%99%84%E4%BB%B61_AIC%C2%B7AI%E5%BC%80%E6%BA%90%E7%AB%9E%E8%B5%9B%E8%A7%84%E5%88%99%E5%8F%8A%E4%BD%9C%E5%93%81%E6%8F%90%E4%BA%A4%E8%A6%81%E6%B1%820812.pdf</x:v>
      </x:c>
    </x:row>
    <x:row r="8" ht="117" customHeight="1">
      <x:c r="A8" s="14" t="str">
        <x:v>S4 实现完成度与可验证效果</x:v>
      </x:c>
      <x:c r="B8" s="16" t="n">
        <x:v>25</x:v>
      </x:c>
      <x:c r="C8" s="12" t="str">
        <x:v>18–25</x:v>
      </x:c>
      <x:c r="D8" s="12" t="str">
        <x:v>交付一个可运行闭环：读取设计 → 检查 → 定位 → 补丁 → 原生重验 → 回归 → 证据导出；失败能够明确停止。</x:v>
      </x:c>
      <x:c r="E8" s="12" t="str">
        <x:v>322 项主仓测试通过是代码证据；sandbox 仍有 1 项错误。未完成真实 KiCad 重验、LLM 修复及实板验证。</x:v>
      </x:c>
      <x:c r="F8" s="12" t="str">
        <x:v>独立标注的 24 案例；逐例结果和失败日志；原生 KiCad 输出；三类现场演示：修复成功、拒绝错误补丁、资料不足。</x:v>
      </x:c>
      <x:c r="G8" s="12" t="str">
        <x:v>E1–E4</x:v>
      </x:c>
      <x:c r="H8" s="12" t="str">
        <x:v>https://www.aicomp.cn/wp-content/uploads/2026/08/%E9%99%84%E4%BB%B61_AIC%C2%B7AI%E5%BC%80%E6%BA%90%E7%AB%9E%E8%B5%9B%E8%A7%84%E5%88%99%E5%8F%8A%E4%BD%9C%E5%93%81%E6%8F%90%E4%BA%A4%E8%A6%81%E6%B1%820812.pdf</x:v>
      </x:c>
    </x:row>
    <x:row r="9" ht="117" customHeight="1">
      <x:c r="A9" s="13" t="str">
        <x:v>S5 开放成果与复用价值</x:v>
      </x:c>
      <x:c r="B9" s="15" t="n">
        <x:v>15</x:v>
      </x:c>
      <x:c r="C9" s="11" t="str">
        <x:v>11–15</x:v>
      </x:c>
      <x:c r="D9" s="11" t="str">
        <x:v>开放最小可用核心：适配器、规则与事实格式、测试集、评测脚本、安装及扩展教程。用他人成功使用证明价值。</x:v>
      </x:c>
      <x:c r="E9" s="11" t="str">
        <x:v>主仓已有 Apache-2.0 声明，但部分开放说明过期。尚无独立安装和复用记录。</x:v>
      </x:c>
      <x:c r="F9" s="11" t="str">
        <x:v>固定发布版本；第三方许可与来源清单；两次干净环境复现；他人新增 1 个案例或规则；维护负责人及范围。</x:v>
      </x:c>
      <x:c r="G9" s="11" t="str">
        <x:v>E1、E4</x:v>
      </x:c>
      <x:c r="H9" s="11" t="str">
        <x:v>https://www.aicomp.cn/wp-content/uploads/2026/08/%E9%99%84%E4%BB%B61_AIC%C2%B7AI%E5%BC%80%E6%BA%90%E7%AB%9E%E8%B5%9B%E8%A7%84%E5%88%99%E5%8F%8A%E4%BD%9C%E5%93%81%E6%8F%90%E4%BA%A4%E8%A6%81%E6%B1%820812.pdf</x:v>
      </x:c>
    </x:row>
    <x:row r="10" ht="117" customHeight="1">
      <x:c r="A10" s="14" t="str">
        <x:v>S6 材料规范与表达</x:v>
      </x:c>
      <x:c r="B10" s="16" t="n">
        <x:v>5</x:v>
      </x:c>
      <x:c r="C10" s="12" t="str">
        <x:v>4–5</x:v>
      </x:c>
      <x:c r="D10" s="12" t="str">
        <x:v>围绕问题、独立判据、真实补丁、对照效果、开放成果组织材料；每个结论都能定位到实际产物。</x:v>
      </x:c>
      <x:c r="E10" s="12" t="str">
        <x:v>旧文档中制造放行、许可证和运行状态存在不一致；不能把测试替身或历史仿真描述为本轮实测。</x:v>
      </x:c>
      <x:c r="F10" s="12" t="str">
        <x:v>3–5 分钟演示；建议 15 页内报告；同一版本的案例、数据与代码链接；本人能解释每项自研贡献。</x:v>
      </x:c>
      <x:c r="G10" s="12" t="str">
        <x:v>E2–E5</x:v>
      </x:c>
      <x:c r="H10" s="12" t="str">
        <x:v>https://www.aicomp.cn/wp-content/uploads/2026/08/%E9%99%84%E4%BB%B61_AIC%C2%B7AI%E5%BC%80%E6%BA%90%E7%AB%9E%E8%B5%9B%E8%A7%84%E5%88%99%E5%8F%8A%E4%BD%9C%E5%93%81%E6%8F%90%E4%BA%A4%E8%A6%81%E6%B1%820812.pdf</x:v>
      </x:c>
    </x:row>
    <x:row r="12" ht="46.5" customHeight="1">
      <x:c r="A12" s="1" t="str">
        <x:v>权重合计</x:v>
      </x:c>
      <x:c r="B12" s="18" t="n">
        <x:f>SUM(B5:B10)</x:f>
        <x:v>100</x:v>
      </x:c>
      <x:c r="C12" s="1"/>
      <x:c r="D12" s="2" t="str">
        <x:v>同分依次比较 S4、S3、S2。实验可支持多项评分，工时只计一次。</x:v>
      </x:c>
      <x:c r="E12" s="2"/>
      <x:c r="F12" s="2"/>
    </x:row>
    <x:row r="13" ht="82.5" customHeight="1">
      <x:c r="D13" s="2" t="str">
        <x:v>建议定位：面向 KiCad 的开源 AI 检查与受约束修复工具。重点证明范围内正确性，不声称整板物理可靠。</x:v>
      </x:c>
      <x:c r="E13" s="2" t="str">
        <x:v>首周决策：先测 6 个开发案例。若脚本覆盖全部任务，应调整 AI 承担的任务与创新表述，再投入完整流程。</x:v>
      </x:c>
      <x:c r="F13" s="2" t="str">
        <x:v>首发两类修复：信号接线关系、已核实器件参数。交付文件更新由确定性工具负责；复杂 AI 任务需有对照增益。</x:v>
      </x:c>
    </x:row>
  </x:sheetData>
  <x:pageMargins left="0.7" right="0.7" top="0.75" bottom="0.75" header="0.3" footer="0.3"/>
  <x:tableParts count="1">
    <x:tablePart xmlns:r="http://schemas.openxmlformats.org/officeDocument/2006/relationships" r:id="R29a5b1e5a7f44db3"/>
  </x:tableParts>
</x:worksheet>
</file>

<file path=xl/worksheets/sheet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1.25" hidden="0" customWidth="1"/>
    <x:col min="2" max="2" width="12.5" hidden="0" customWidth="1"/>
    <x:col min="3" max="3" width="45" hidden="0" customWidth="1"/>
    <x:col min="4" max="4" width="45" hidden="0" customWidth="1"/>
    <x:col min="5" max="5" width="13.75" hidden="0" customWidth="1"/>
    <x:col min="6" max="6" width="11.880000114440918" hidden="0" customWidth="1"/>
    <x:col min="7" max="7" width="36.25" hidden="0" customWidth="1"/>
    <x:col min="8" max="8" width="40" hidden="0" customWidth="1"/>
    <x:col min="9" max="9" width="30" hidden="0" customWidth="1"/>
  </x:cols>
  <x:sheetData>
    <x:row r="1" ht="27" customHeight="1">
      <x:c r="A1" s="5" t="str">
        <x:v>10 篇论文｜贡献、取舍与复用边界</x:v>
      </x:c>
      <x:c r="B1" s="3"/>
      <x:c r="C1" s="3"/>
      <x:c r="D1" s="3"/>
      <x:c r="E1" s="3"/>
      <x:c r="F1" s="3"/>
      <x:c r="G1" s="3"/>
      <x:c r="H1" s="3"/>
      <x:c r="I1" s="3"/>
    </x:row>
    <x:row r="2" ht="20.25" customHeight="1">
      <x:c r="A2" s="7" t="str">
        <x:v>全部论文已读；以下是 AEDL 的采纳建议，不表示第三方系统已复现或已集成。来源与许可列可横向查看。</x:v>
      </x:c>
      <x:c r="B2" s="3"/>
      <x:c r="C2" s="3"/>
      <x:c r="D2" s="3"/>
      <x:c r="E2" s="3"/>
      <x:c r="F2" s="3"/>
      <x:c r="G2" s="3"/>
      <x:c r="H2" s="3"/>
      <x:c r="I2" s="3"/>
    </x:row>
    <x:row r="3" ht="6.75" customHeight="1">
      <x:c r="A3" s="8"/>
      <x:c r="B3" s="8"/>
      <x:c r="C3" s="8"/>
      <x:c r="D3" s="8"/>
      <x:c r="E3" s="8"/>
      <x:c r="F3" s="8"/>
      <x:c r="G3" s="8"/>
      <x:c r="H3" s="8"/>
      <x:c r="I3" s="8"/>
    </x:row>
    <x:row r="4" ht="30" customHeight="1">
      <x:c r="A4" s="10" t="str">
        <x:v>论文</x:v>
      </x:c>
      <x:c r="B4" s="10" t="str">
        <x:v>取舍</x:v>
      </x:c>
      <x:c r="C4" s="10" t="str">
        <x:v>贡献及 AEDL 要补的内容</x:v>
      </x:c>
      <x:c r="D4" s="10" t="str">
        <x:v>原作边界与不做的部分</x:v>
      </x:c>
      <x:c r="E4" s="10" t="str">
        <x:v>评分关联</x:v>
      </x:c>
      <x:c r="F4" s="10" t="str">
        <x:v>关联实验</x:v>
      </x:c>
      <x:c r="G4" s="10" t="str">
        <x:v>论文原文／版本</x:v>
      </x:c>
      <x:c r="H4" s="10" t="str">
        <x:v>代码或产品来源</x:v>
      </x:c>
      <x:c r="I4" s="10" t="str">
        <x:v>许可及本期复用方式</x:v>
      </x:c>
    </x:row>
    <x:row r="5" ht="109.5" customHeight="1">
      <x:c r="A5" s="13" t="str">
        <x:v>P01 PCBSchemaGen</x:v>
      </x:c>
      <x:c r="B5" s="11" t="str">
        <x:v>核心改造</x:v>
      </x:c>
      <x:c r="C5" s="11" t="str">
        <x:v>借用引脚角色、图关系和分层检查思想；AEDL 补上资料来源、规则覆盖检查与可定位错误，支撑有限范围的可信验收。</x:v>
      </x:c>
      <x:c r="D5" s="11" t="str">
        <x:v>公开代码是验证器与评测任务，非完整生成闭环。规则存在跳过与回退逻辑，须逐条审查；本期采用简单修复，不实现复杂搜索。</x:v>
      </x:c>
      <x:c r="E5" s="11" t="str">
        <x:v>S2/S3/S4/S5</x:v>
      </x:c>
      <x:c r="F5" s="11" t="str">
        <x:v>E1/E2</x:v>
      </x:c>
      <x:c r="G5" s="11" t="str">
        <x:v>https://arxiv.org/abs/2602.00510v2</x:v>
      </x:c>
      <x:c r="H5" s="11" t="str">
        <x:v>https://github.com/HZou9/PCBSchemaGen_v2</x:v>
      </x:c>
      <x:c r="I5" s="11" t="str">
        <x:v>MIT；拟选取原语改造，未集成</x:v>
      </x:c>
    </x:row>
    <x:row r="6" ht="109.5" customHeight="1">
      <x:c r="A6" s="14" t="str">
        <x:v>P02 DRCY</x:v>
      </x:c>
      <x:c r="B6" s="12" t="str">
        <x:v>方法迁移</x:v>
      </x:c>
      <x:c r="C6" s="12" t="str">
        <x:v>把错误连到功能模块、器件资料和设计位置；人工核对少量关键资料，形成“哪条要求、哪里违反、依据是什么”的反馈。</x:v>
      </x:c>
      <x:c r="D6" s="12" t="str">
        <x:v>未核实到可用完整开源实现，也无足够受控准确率实验。复用审查流程思想，不建设全自动资料抓取及多重 critic。</x:v>
      </x:c>
      <x:c r="E6" s="12" t="str">
        <x:v>S1/S3/S4</x:v>
      </x:c>
      <x:c r="F6" s="12" t="str">
        <x:v>E1/E5</x:v>
      </x:c>
      <x:c r="G6" s="12" t="str">
        <x:v>https://arxiv.org/abs/2603.15672v1</x:v>
      </x:c>
      <x:c r="H6" s="12" t="str">
        <x:v>https://www.allspice.io/product/drcy</x:v>
      </x:c>
      <x:c r="I6" s="12" t="str">
        <x:v>商业产品；不列为开源依赖</x:v>
      </x:c>
    </x:row>
    <x:row r="7" ht="109.5" customHeight="1">
      <x:c r="A7" s="13" t="str">
        <x:v>P03 PCBWorld</x:v>
      </x:c>
      <x:c r="B7" s="11" t="str">
        <x:v>方法迁移</x:v>
      </x:c>
      <x:c r="C7" s="11" t="str">
        <x:v>采用原生 EDA 引擎反馈和动作日志；让修复后的新文件重新接受工具检查，记录环境、版本和失败。</x:v>
      </x:c>
      <x:c r="D7" s="11" t="str">
        <x:v>固定布局布线任务与 AEDL 不同。数据规则有放宽；本期不做路由器或强化学习，也不直接引入受限数据。</x:v>
      </x:c>
      <x:c r="E7" s="11" t="str">
        <x:v>S3/S4</x:v>
      </x:c>
      <x:c r="F7" s="11" t="str">
        <x:v>E3/E4</x:v>
      </x:c>
      <x:c r="G7" s="11" t="str">
        <x:v>https://arxiv.org/abs/2607.05915v3</x:v>
      </x:c>
      <x:c r="H7" s="11" t="str">
        <x:v>https://github.com/LGAI-Research/PCBWorld</x:v>
      </x:c>
      <x:c r="I7" s="11" t="str">
        <x:v>PCBWorld 1.0-NC；有非商业等限制</x:v>
      </x:c>
    </x:row>
    <x:row r="8" ht="109.5" customHeight="1">
      <x:c r="A8" s="14" t="str">
        <x:v>P04 CircuitLM</x:v>
      </x:c>
      <x:c r="B8" s="12" t="str">
        <x:v>方法迁移</x:v>
      </x:c>
      <x:c r="C8" s="12" t="str">
        <x:v>限制器件与操作范围，使用结构化对象；未识别的器件、缺失的资料和不支持的任务明确返回待确认。</x:v>
      </x:c>
      <x:c r="D8" s="12" t="str">
        <x:v>主要是器件库、CircuitJSON 和 SVG；公开仓库未交付完整 KiCad 修复闭环。不另建 RAG、SVG 或全套生成后端。</x:v>
      </x:c>
      <x:c r="E8" s="12" t="str">
        <x:v>S2/S4</x:v>
      </x:c>
      <x:c r="F8" s="12" t="str">
        <x:v>E1/E3</x:v>
      </x:c>
      <x:c r="G8" s="12" t="str">
        <x:v>https://arxiv.org/abs/2601.04505v3</x:v>
      </x:c>
      <x:c r="H8" s="12" t="str">
        <x:v>https://github.com/Khandakar227/CircuitLM</x:v>
      </x:c>
      <x:c r="I8" s="12" t="str">
        <x:v>MIT；本期只借鉴表示与范围控制</x:v>
      </x:c>
    </x:row>
    <x:row r="9" ht="109.5" customHeight="1">
      <x:c r="A9" s="13" t="str">
        <x:v>P05 SchGen</x:v>
      </x:c>
      <x:c r="B9" s="11" t="str">
        <x:v>接口参考</x:v>
      </x:c>
      <x:c r="C9" s="11" t="str">
        <x:v>用语义引脚和结构化局部操作代替整文件重写；AEDL 明确补丁范围与允许变化，底层优先使用已探测的 akcli。</x:v>
      </x:c>
      <x:c r="D9" s="11" t="str">
        <x:v>格式有效不等于功能正确。接口含模糊匹配、0201 默认封装等假设；不直接照搬，不做 LoRA 训练。</x:v>
      </x:c>
      <x:c r="E9" s="11" t="str">
        <x:v>S2/S3/S4</x:v>
      </x:c>
      <x:c r="F9" s="11" t="str">
        <x:v>E2/E3</x:v>
      </x:c>
      <x:c r="G9" s="11" t="str">
        <x:v>https://arxiv.org/abs/2605.30345v1</x:v>
      </x:c>
      <x:c r="H9" s="11" t="str">
        <x:v>https://github.com/microsoft/SchGen</x:v>
      </x:c>
      <x:c r="I9" s="11" t="str">
        <x:v>MIT；接口参考，非默认执行后端</x:v>
      </x:c>
    </x:row>
    <x:row r="10" ht="109.5" customHeight="1">
      <x:c r="A10" s="14" t="str">
        <x:v>P06 AutoChip</x:v>
      </x:c>
      <x:c r="B10" s="12" t="str">
        <x:v>核心方法</x:v>
      </x:c>
      <x:c r="C10" s="12" t="str">
        <x:v>采用“工具反馈 → 小步修复 → 重测”，限制调用预算；加入相同预算的无反馈重试和脚本基线，验证反馈是否有效。</x:v>
      </x:c>
      <x:c r="D10" s="12" t="str">
        <x:v>依赖已有 golden testbench；反馈收益随模型变化。迁移实验设计和循环思想，不移植 RTL 仿真栈或宣称必然增益。</x:v>
      </x:c>
      <x:c r="E10" s="12" t="str">
        <x:v>S2/S3/S4</x:v>
      </x:c>
      <x:c r="F10" s="12" t="str">
        <x:v>E2</x:v>
      </x:c>
      <x:c r="G10" s="12" t="str">
        <x:v>https://arxiv.org/abs/2411.11856v3</x:v>
      </x:c>
      <x:c r="H10" s="12" t="str">
        <x:v>https://github.com/shailja-thakur/AutoChip</x:v>
      </x:c>
      <x:c r="I10" s="12" t="str">
        <x:v>Apache-2.0；本期以方法迁移为主</x:v>
      </x:c>
    </x:row>
    <x:row r="11" ht="109.5" customHeight="1">
      <x:c r="A11" s="13" t="str">
        <x:v>P07 VeriSure</x:v>
      </x:c>
      <x:c r="B11" s="11" t="str">
        <x:v>核心方法</x:v>
      </x:c>
      <x:c r="C11" s="11" t="str">
        <x:v>保留独立冻结的验收条件、错误定位、小补丁和回滚；修复时只修改候选设计，不允许修改验收条件来获取通过。</x:v>
      </x:c>
      <x:c r="D11" s="11" t="str">
        <x:v>局部证明不能等同整板正确；共享规格可能同错，附录断言有问题。不能复制其“完整形式证明”叙事或照搬多 Agent 系统。</x:v>
      </x:c>
      <x:c r="E11" s="11" t="str">
        <x:v>S2/S3/S4</x:v>
      </x:c>
      <x:c r="F11" s="11" t="str">
        <x:v>E1/E2/E3</x:v>
      </x:c>
      <x:c r="G11" s="11" t="str">
        <x:v>https://arxiv.org/abs/2601.19747v1</x:v>
      </x:c>
      <x:c r="H11" s="11" t="str">
        <x:v>https://github.com/xyjoey/Veri-Sure</x:v>
      </x:c>
      <x:c r="I11" s="11" t="str">
        <x:v>MIT；迁移原则，断言需独立重写</x:v>
      </x:c>
    </x:row>
    <x:row r="12" ht="109.5" customHeight="1">
      <x:c r="A12" s="14" t="str">
        <x:v>P08 HWE-Bench</x:v>
      </x:c>
      <x:c r="B12" s="12" t="str">
        <x:v>评测依据</x:v>
      </x:c>
      <x:c r="C12" s="12" t="str">
        <x:v>学习由人工和工程资料建立独立验收条件；测试集包含正确设计、组合错误、缺资料和越界情况，防止自问自答。</x:v>
      </x:c>
      <x:c r="D12" s="12" t="str">
        <x:v>所给版本是板级 300 任务论文；未核实匹配代码／数据。同名 RTL 仓库不是该数据集，不能承诺直接复用。</x:v>
      </x:c>
      <x:c r="E12" s="12" t="str">
        <x:v>S1/S4/S5</x:v>
      </x:c>
      <x:c r="F12" s="12" t="str">
        <x:v>E1/E5</x:v>
      </x:c>
      <x:c r="G12" s="12" t="str">
        <x:v>https://arxiv.org/abs/2603.18102v1</x:v>
      </x:c>
      <x:c r="H12" s="12" t="str">
        <x:v>未核实匹配发布地址</x:v>
      </x:c>
      <x:c r="I12" s="12" t="str">
        <x:v>不可按现成开源数据集规划</x:v>
      </x:c>
    </x:row>
    <x:row r="13" ht="109.5" customHeight="1">
      <x:c r="A13" s="13" t="str">
        <x:v>P09 PostEDA-Bench</x:v>
      </x:c>
      <x:c r="B13" s="11" t="str">
        <x:v>评测依据</x:v>
      </x:c>
      <x:c r="C13" s="11" t="str">
        <x:v>修复一个目标后重跑所有受保护检查；显式统计新增错误，防止错误数变少但设计整体变坏。</x:v>
      </x:c>
      <x:c r="D13" s="11" t="str">
        <x:v>IC 的 DRC/PPA 不能直接迁移为 PCB 成功指标；缺少功能测试时不应默认为通过。本期不接 OpenROAD。</x:v>
      </x:c>
      <x:c r="E13" s="11" t="str">
        <x:v>S2/S4</x:v>
      </x:c>
      <x:c r="F13" s="11" t="str">
        <x:v>E3</x:v>
      </x:c>
      <x:c r="G13" s="11" t="str">
        <x:v>https://arxiv.org/abs/2605.06936v3</x:v>
      </x:c>
      <x:c r="H13" s="11" t="str">
        <x:v>https://github.com/pengjas/posteda-bench</x:v>
      </x:c>
      <x:c r="I13" s="11" t="str">
        <x:v>CC BY 4.0；本期只迁移评测思想</x:v>
      </x:c>
    </x:row>
    <x:row r="14" ht="109.5" customHeight="1">
      <x:c r="A14" s="14" t="str">
        <x:v>P10 EDAid</x:v>
      </x:c>
      <x:c r="B14" s="12" t="str">
        <x:v>低成本参考</x:v>
      </x:c>
      <x:c r="C14" s="12" t="str">
        <x:v>采用明确的工具调用格式和结构化报错；模型提出候选，由外部工具和独立判据决定是否接受。</x:v>
      </x:c>
      <x:c r="D14" s="12" t="str">
        <x:v>公开 ChatEDA 不等于完整 EDAid。模型裁判、模型训练和多候选择优不是本期必需，不能以 LLM 自评代替硬件验收。</x:v>
      </x:c>
      <x:c r="E14" s="12" t="str">
        <x:v>S3/S4</x:v>
      </x:c>
      <x:c r="F14" s="12" t="str">
        <x:v>E2/E3</x:v>
      </x:c>
      <x:c r="G14" s="12" t="str">
        <x:v>https://aclanthology.org/2025.naacl-long.83.pdf</x:v>
      </x:c>
      <x:c r="H14" s="12" t="str">
        <x:v>https://github.com/wuhy68/ChatEDA</x:v>
      </x:c>
      <x:c r="I14" s="12" t="str">
        <x:v>Apache-2.0；参考接口，暂不移植训练</x:v>
      </x:c>
    </x:row>
  </x:sheetData>
  <x:pageMargins left="0.7" right="0.7" top="0.75" bottom="0.75" header="0.3" footer="0.3"/>
  <x:tableParts count="1">
    <x:tablePart xmlns:r="http://schemas.openxmlformats.org/officeDocument/2006/relationships" r:id="R30a934352cc447a7"/>
  </x:tableParts>
</x:worksheet>
</file>

<file path=xl/worksheets/sheet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8.130000114440918" hidden="0" customWidth="1"/>
    <x:col min="2" max="2" width="23.75" hidden="0" customWidth="1"/>
    <x:col min="3" max="3" width="43.75" hidden="0" customWidth="1"/>
    <x:col min="4" max="4" width="47.5" hidden="0" customWidth="1"/>
    <x:col min="5" max="5" width="47.5" hidden="0" customWidth="1"/>
    <x:col min="6" max="6" width="42.5" hidden="0" customWidth="1"/>
    <x:col min="7" max="7" width="15" hidden="0" customWidth="1"/>
    <x:col min="8" max="8" width="24.3799991607666" hidden="0" customWidth="1"/>
  </x:cols>
  <x:sheetData>
    <x:row r="1" ht="27" customHeight="1">
      <x:c r="A1" s="5" t="str">
        <x:v>需要补的实验｜先验证判据，再证明修复增益</x:v>
      </x:c>
      <x:c r="B1" s="3"/>
      <x:c r="C1" s="3"/>
      <x:c r="D1" s="3"/>
      <x:c r="E1" s="3"/>
      <x:c r="F1" s="3"/>
      <x:c r="G1" s="3"/>
      <x:c r="H1" s="3"/>
    </x:row>
    <x:row r="2" ht="20.25" customHeight="1">
      <x:c r="A2" s="7" t="str">
        <x:v>E1–E5 纳入基本包；E6 可选。所有实验均为待执行计划，尚无结果；共用案例不重复累计样本数。</x:v>
      </x:c>
      <x:c r="B2" s="3"/>
      <x:c r="C2" s="3"/>
      <x:c r="D2" s="3"/>
      <x:c r="E2" s="3"/>
      <x:c r="F2" s="3"/>
      <x:c r="G2" s="3"/>
      <x:c r="H2" s="3"/>
    </x:row>
    <x:row r="3" ht="6.75" customHeight="1">
      <x:c r="A3" s="8"/>
      <x:c r="B3" s="8"/>
      <x:c r="C3" s="8"/>
      <x:c r="D3" s="8"/>
      <x:c r="E3" s="8"/>
      <x:c r="F3" s="8"/>
      <x:c r="G3" s="8"/>
      <x:c r="H3" s="8"/>
    </x:row>
    <x:row r="4" ht="30" customHeight="1">
      <x:c r="A4" s="10" t="str">
        <x:v>编号</x:v>
      </x:c>
      <x:c r="B4" s="10" t="str">
        <x:v>实验与优先级</x:v>
      </x:c>
      <x:c r="C4" s="10" t="str">
        <x:v>样本与实验任务</x:v>
      </x:c>
      <x:c r="D4" s="10" t="str">
        <x:v>对照与执行方法</x:v>
      </x:c>
      <x:c r="E4" s="10" t="str">
        <x:v>指标及输出证据</x:v>
      </x:c>
      <x:c r="F4" s="10" t="str">
        <x:v>判定原则与解释边界</x:v>
      </x:c>
      <x:c r="G4" s="10" t="str">
        <x:v>评分关联</x:v>
      </x:c>
      <x:c r="H4" s="10" t="str">
        <x:v>工时归属／依赖</x:v>
      </x:c>
    </x:row>
    <x:row r="5" ht="176.25" customHeight="1">
      <x:c r="A5" s="13" t="str">
        <x:v>E1</x:v>
      </x:c>
      <x:c r="B5" s="11" t="str">
        <x:v>必做：验收是否可信</x:v>
      </x:c>
      <x:c r="C5" s="11" t="str">
        <x:v>以 M2 单一板型建立 24 个冻结验收案例：12 单错、4 组合错、4 正确或合法变体、4 缺资料／不支持。16 个错误例限定为已具备事实和可执行补丁的任务。开发调试另用案例。</x:v>
      </x:c>
      <x:c r="D5" s="11" t="str">
        <x:v>搭档依据原理图、引脚资料和人工复核预先写出验收条件；测试答案与标准补丁不向修复模型开放，测试案例不用于调提示。将常规 KiCad 检查与 AEDL 逐例对照；位号／网络名变化应保持语义判定一致。</x:v>
      </x:c>
      <x:c r="E5" s="11" t="str">
        <x:v>报告检出数／16、错误放行数／16、正确例误拒数／4、应停止例停止数／4；写出缺失检查，不把 UNKNOWN 算 PASS。输出案例、依据页码、期望、实测和工具日志。</x:v>
      </x:c>
      <x:c r="F5" s="11" t="str">
        <x:v>验收标准独立于生成和修复过程；24 例不是行业泛化证据。希望零已知错误放行，但必须如实报告实际数。</x:v>
      </x:c>
      <x:c r="G5" s="11" t="str">
        <x:v>S1/S2/S4/S5</x:v>
      </x:c>
      <x:c r="H5" s="11" t="str">
        <x:v>W1/W4；先冻结基准</x:v>
      </x:c>
    </x:row>
    <x:row r="6" ht="176.25" customHeight="1">
      <x:c r="A6" s="14" t="str">
        <x:v>E2</x:v>
      </x:c>
      <x:c r="B6" s="12" t="str">
        <x:v>必做：AI 与反馈有何增益</x:v>
      </x:c>
      <x:c r="C6" s="12" t="str">
        <x:v>先用 6 个开发案例小试 AI 与脚本，再在 E1 的 16 个测试错误例比较：D 固定规则脚本；A AI 无反馈重试；B AI 原始日志反馈；C AI 结构化定位反馈。D 同样最多 3 轮，不按测试题 ID 写答案。</x:v>
      </x:c>
      <x:c r="D6" s="12" t="str">
        <x:v>AI 三组固定模型、温度、事实、操作权限、token 上限及最多 3 次提案；A 每次从起始错误文件盲重试。正式首轮 ≤144 次提案；预先选定的 6 例各额外跑 2 次，≤108 次。开发小试及工程故障试验调用另计。</x:v>
      </x:c>
      <x:c r="E6" s="12" t="str">
        <x:v>主指标：完全满足冻结验收且无新增错误的案例数／16。另列提案有效率、平均轮次、调用 token／实际费用、端到端耗时和全部失败。重复运行按案例报告分布，不冒充新增独立案例。</x:v>
      </x:c>
      <x:c r="F6" s="12" t="str">
        <x:v>若脚本同样有效，该类用脚本；AI 无增益时缩小 AI 任务或调整定位。按冻结的全部案例报告。重复运行可按资源删减，但须说明波动未充分测量。</x:v>
      </x:c>
      <x:c r="G6" s="12" t="str">
        <x:v>S2/S3/S4</x:v>
      </x:c>
      <x:c r="H6" s="12" t="str">
        <x:v>W1 首周小试；W3/W4 正式运行</x:v>
      </x:c>
    </x:row>
    <x:row r="7" ht="176.25" customHeight="1">
      <x:c r="A7" s="13" t="str">
        <x:v>E3</x:v>
      </x:c>
      <x:c r="B7" s="11" t="str">
        <x:v>必做：修复是否引入新问题</x:v>
      </x:c>
      <x:c r="C7" s="11" t="str">
        <x:v>复用 E1 的组合错、正确例及应停止例，检验只看目标错误与完整回归的差别；另外注入旧网表／BOM、合网、重复操作、超时、缺工具及回滚故障。额外工程故障单独统计。</x:v>
      </x:c>
      <x:c r="D7" s="11" t="str">
        <x:v>每次写入后用独立 KiCad 原生解析／导出与 ERC 检查，再执行资料支持的引脚关系和交付物检查；限定目标网络可改变的关系，保护其他关系。以固定快照回滚，不依赖单次 undo 恰好回到起点。</x:v>
      </x:c>
      <x:c r="E7" s="11" t="str">
        <x:v>记录目标修复数、出现新增错误的候选数／全部实际候选数、危险候选拒绝数／注入危险候选数、回滚字节一致数／尝试数、过期产物检出数／注入数。保存新文件与原生输出。</x:v>
      </x:c>
      <x:c r="F7" s="11" t="str">
        <x:v>缺工具、陈旧产物、关键资料缺失均不得出具通过。原生 ERC 通过不能替代功能验收；证据只覆盖已实现判据，不证明热、EMI 或整板可制造。</x:v>
      </x:c>
      <x:c r="G7" s="11" t="str">
        <x:v>S2/S3/S4</x:v>
      </x:c>
      <x:c r="H7" s="11" t="str">
        <x:v>W2/W3/W4；与 E2 共用案例</x:v>
      </x:c>
    </x:row>
    <x:row r="8" ht="176.25" customHeight="1">
      <x:c r="A8" s="14" t="str">
        <x:v>E4</x:v>
      </x:c>
      <x:c r="B8" s="12" t="str">
        <x:v>必做：别人能否复现复用</x:v>
      </x:c>
      <x:c r="C8" s="12" t="str">
        <x:v>在 2 个干净环境按发布说明安装并运行；至少 1 次由非核心实现者操作。复现同一测试结果，并根据教程增加 1 个非硬编码位号的案例或规则。</x:v>
      </x:c>
      <x:c r="D8" s="12" t="str">
        <x:v>锁定依赖、工具、模型调用配置与发布版本；分别提供无需密钥的确定性回放和需要用户自行配置模型的真实运行。记录环境、操作步骤、失败与修复。</x:v>
      </x:c>
      <x:c r="E8" s="12" t="str">
        <x:v>输出两次安装记录、复现结果差异、安装耗时、扩展案例提交和文档改进记录。开放适配器、核心规则、24 案例及运行器，逐项说明上游来源和团队增量。</x:v>
      </x:c>
      <x:c r="F8" s="12" t="str">
        <x:v>安装成功不等于 AI 推理逐字可重复。回放应明确标记，不展示为实时 AI；数据手册优先发布来源与自行整理的事实，不默认再分发整份 PDF。</x:v>
      </x:c>
      <x:c r="G8" s="12" t="str">
        <x:v>S3/S4/S5</x:v>
      </x:c>
      <x:c r="H8" s="12" t="str">
        <x:v>W5；依赖稳定发布候选</x:v>
      </x:c>
    </x:row>
    <x:row r="9" ht="176.25" customHeight="1">
      <x:c r="A9" s="13" t="str">
        <x:v>E5</x:v>
      </x:c>
      <x:c r="B9" s="11" t="str">
        <x:v>小规模必做：是否解决真实需求</x:v>
      </x:c>
      <x:c r="C9" s="11" t="str">
        <x:v>招募 3–5 名会使用 KiCad 的目标用户；先了解近期设计错误，再做 2 个难度相近的检查／修复任务。每人分别使用现有方法和 AEDL，尽可能交错顺序。</x:v>
      </x:c>
      <x:c r="D9" s="11" t="str">
        <x:v>记录背景熟练度、任务、完成条件和人工帮助；不要重复同一道题造成记忆优势。团队负责招募；尚未联系或收集任何用户数据。</x:v>
      </x:c>
      <x:c r="E9" s="11" t="str">
        <x:v>报告每位用户的完成情况、耗时、人工介入、理解错误的困难和改进意见；报告中位数及逐人数据，保留失败。已有 M2 事件作为场景证据，用户数据作为新增证据。</x:v>
      </x:c>
      <x:c r="F9" s="11" t="str">
        <x:v>3–5 人只支持初步可用性判断，不能推断广泛市场效果。外部试用与团队自测分别报告；无法招募则保留为未完成项。</x:v>
      </x:c>
      <x:c r="G9" s="11" t="str">
        <x:v>S1/S4/S6</x:v>
      </x:c>
      <x:c r="H9" s="11" t="str">
        <x:v>W1 准备／W5 执行</x:v>
      </x:c>
    </x:row>
    <x:row r="10" ht="176.25" customHeight="1">
      <x:c r="A10" s="14" t="str">
        <x:v>E6</x:v>
      </x:c>
      <x:c r="B10" s="12" t="str">
        <x:v>可选：有限电路仿真</x:v>
      </x:c>
      <x:c r="C10" s="12" t="str">
        <x:v>仅当 E1–E4 完成后，对已有、模型可核实的简单子电路增加 1 组 ngspice 功能对照。预计另需 8–12 人时，未计入 150 人时基本包。</x:v>
      </x:c>
      <x:c r="D10" s="12" t="str">
        <x:v>人工先冻结条件和期望，再比较故障与修复波形；核实器件模型、供电、负载和仿真设置。不尝试给完整 ESP32 板拼接无效模型。</x:v>
      </x:c>
      <x:c r="E10" s="12" t="str">
        <x:v>输出条件、模型来源、波形与验收数值；单列仿真范围。实际物理验证必须另有测量记录。</x:v>
      </x:c>
      <x:c r="F10" s="12" t="str">
        <x:v>优先完成闭环、对照和复现；仿真与实测分别报告，未执行的检查明确标注未验证。</x:v>
      </x:c>
      <x:c r="G10" s="12" t="str">
        <x:v>S4</x:v>
      </x:c>
      <x:c r="H10" s="12" t="str">
        <x:v>基本包之外；最后考虑</x:v>
      </x:c>
    </x:row>
  </x:sheetData>
  <x:pageMargins left="0.7" right="0.7" top="0.75" bottom="0.75" header="0.3" footer="0.3"/>
  <x:tableParts count="1">
    <x:tablePart xmlns:r="http://schemas.openxmlformats.org/officeDocument/2006/relationships" r:id="Rc8debee0d77f4f87"/>
  </x:tableParts>
</x:worksheet>
</file>

<file path=xl/worksheets/sheet4.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9.380000114440918" hidden="0" customWidth="1"/>
    <x:col min="2" max="2" width="29.3799991607666" hidden="0" customWidth="1"/>
    <x:col min="3" max="3" width="13.130000114440918" hidden="0" customWidth="1"/>
    <x:col min="4" max="4" width="13.130000114440918" hidden="0" customWidth="1"/>
    <x:col min="5" max="5" width="13.130000114440918" hidden="0" customWidth="1"/>
    <x:col min="6" max="6" width="23.75" hidden="0" customWidth="1"/>
    <x:col min="7" max="7" width="56.25" hidden="0" customWidth="1"/>
    <x:col min="8" max="8" width="32.5" hidden="0" customWidth="1"/>
  </x:cols>
  <x:sheetData>
    <x:row r="1" ht="27" customHeight="1">
      <x:c r="A1" s="5" t="str">
        <x:v>150 人时基本包｜两人协作至 10 月 12 日</x:v>
      </x:c>
      <x:c r="B1" s="3"/>
      <x:c r="C1" s="3"/>
      <x:c r="D1" s="3"/>
      <x:c r="E1" s="3"/>
      <x:c r="F1" s="3"/>
      <x:c r="G1" s="3"/>
      <x:c r="H1" s="3"/>
    </x:row>
    <x:row r="2" ht="20.25" customHeight="1">
      <x:c r="A2" s="7" t="str">
        <x:v>你每周 20–30 小时，搭档 10–15 小时；责任分配为建议。黄色为可调整投入，汇总随输入计算。</x:v>
      </x:c>
      <x:c r="B2" s="3"/>
      <x:c r="C2" s="3"/>
      <x:c r="D2" s="3"/>
      <x:c r="E2" s="3"/>
      <x:c r="F2" s="3"/>
      <x:c r="G2" s="3"/>
      <x:c r="H2" s="3"/>
    </x:row>
    <x:row r="3" ht="6.75" customHeight="1">
      <x:c r="A3" s="8"/>
      <x:c r="B3" s="8"/>
      <x:c r="C3" s="8"/>
      <x:c r="D3" s="8"/>
      <x:c r="E3" s="8"/>
      <x:c r="F3" s="8"/>
      <x:c r="G3" s="8"/>
      <x:c r="H3" s="8"/>
    </x:row>
    <x:row r="4" ht="30" customHeight="1">
      <x:c r="A4" s="10" t="str">
        <x:v>工作包</x:v>
      </x:c>
      <x:c r="B4" s="10" t="str">
        <x:v>交付内容</x:v>
      </x:c>
      <x:c r="C4" s="10" t="str">
        <x:v>你／人时</x:v>
      </x:c>
      <x:c r="D4" s="10" t="str">
        <x:v>搭档／人时</x:v>
      </x:c>
      <x:c r="E4" s="10" t="str">
        <x:v>合计／人时</x:v>
      </x:c>
      <x:c r="F4" s="10" t="str">
        <x:v>目标时间</x:v>
      </x:c>
      <x:c r="G4" s="10" t="str">
        <x:v>完成条件</x:v>
      </x:c>
      <x:c r="H4" s="10" t="str">
        <x:v>关联论文／实验</x:v>
      </x:c>
    </x:row>
    <x:row r="5" ht="87" customHeight="1">
      <x:c r="A5" s="13" t="str">
        <x:v>W1</x:v>
      </x:c>
      <x:c r="B5" s="11" t="str">
        <x:v>范围、事实与独立判据</x:v>
      </x:c>
      <x:c r="C5" s="20" t="n">
        <x:v>12</x:v>
      </x:c>
      <x:c r="D5" s="20" t="n">
        <x:v>6</x:v>
      </x:c>
      <x:c r="E5" s="15" t="n">
        <x:f>SUM(C5:D5)</x:f>
        <x:v>18</x:v>
      </x:c>
      <x:c r="F5" s="11" t="str">
        <x:v>9月6–12日</x:v>
      </x:c>
      <x:c r="G5" s="11" t="str">
        <x:v>冻结信号接线关系、已核实器件参数两类修复及验收依据。用 6 个开发案例先试 AI 与脚本；准备用户试用。</x:v>
      </x:c>
      <x:c r="H5" s="11" t="str">
        <x:v>P01/P02/P04/P06/P07/P08；E1/E2/E5</x:v>
      </x:c>
    </x:row>
    <x:row r="6" ht="87" customHeight="1">
      <x:c r="A6" s="14" t="str">
        <x:v>W2</x:v>
      </x:c>
      <x:c r="B6" s="12" t="str">
        <x:v>原生读写与重新检查</x:v>
      </x:c>
      <x:c r="C6" s="20" t="n">
        <x:v>18</x:v>
      </x:c>
      <x:c r="D6" s="20" t="n">
        <x:v>6</x:v>
      </x:c>
      <x:c r="E6" s="16" t="n">
        <x:f>SUM(C6:D6)</x:f>
        <x:v>24</x:v>
      </x:c>
      <x:c r="F6" s="12" t="str">
        <x:v>9月10–18日</x:v>
      </x:c>
      <x:c r="G6" s="12" t="str">
        <x:v>接 akcli 0.21.0 与独立 KiCad CLI；完成真实写入、重新导出、异常停止与快照回滚。</x:v>
      </x:c>
      <x:c r="H6" s="12" t="str">
        <x:v>P03/P05/P10；E3</x:v>
      </x:c>
    </x:row>
    <x:row r="7" ht="87" customHeight="1">
      <x:c r="A7" s="13" t="str">
        <x:v>W3</x:v>
      </x:c>
      <x:c r="B7" s="11" t="str">
        <x:v>定位反馈与受约束修复</x:v>
      </x:c>
      <x:c r="C7" s="20" t="n">
        <x:v>28</x:v>
      </x:c>
      <x:c r="D7" s="20" t="n">
        <x:v>8</x:v>
      </x:c>
      <x:c r="E7" s="15" t="n">
        <x:f>SUM(C7:D7)</x:f>
        <x:v>36</x:v>
      </x:c>
      <x:c r="F7" s="11" t="str">
        <x:v>9月16–27日</x:v>
      </x:c>
      <x:c r="G7" s="11" t="str">
        <x:v>串起真实模型、结构化补丁、允许网络变化、受保护关系与最多 3 轮修复。</x:v>
      </x:c>
      <x:c r="H7" s="11" t="str">
        <x:v>P01/P06/P07/P09；E2/E3</x:v>
      </x:c>
    </x:row>
    <x:row r="8" ht="87" customHeight="1">
      <x:c r="A8" s="14" t="str">
        <x:v>W4</x:v>
      </x:c>
      <x:c r="B8" s="12" t="str">
        <x:v>基准与对照实验</x:v>
      </x:c>
      <x:c r="C8" s="20" t="n">
        <x:v>14</x:v>
      </x:c>
      <x:c r="D8" s="20" t="n">
        <x:v>10</x:v>
      </x:c>
      <x:c r="E8" s="16" t="n">
        <x:f>SUM(C8:D8)</x:f>
        <x:v>24</x:v>
      </x:c>
      <x:c r="F8" s="12" t="str">
        <x:v>9月21日–10月3日</x:v>
      </x:c>
      <x:c r="G8" s="12" t="str">
        <x:v>完成 24 例验收、16 例四组对照、失败与资源记录；冻结证据，避免按结果改判据。</x:v>
      </x:c>
      <x:c r="H8" s="12" t="str">
        <x:v>E1/E2/E3</x:v>
      </x:c>
    </x:row>
    <x:row r="9" ht="87" customHeight="1">
      <x:c r="A9" s="13" t="str">
        <x:v>W5</x:v>
      </x:c>
      <x:c r="B9" s="11" t="str">
        <x:v>开放发布、复现与展示</x:v>
      </x:c>
      <x:c r="C9" s="20" t="n">
        <x:v>16</x:v>
      </x:c>
      <x:c r="D9" s="20" t="n">
        <x:v>10</x:v>
      </x:c>
      <x:c r="E9" s="15" t="n">
        <x:f>SUM(C9:D9)</x:f>
        <x:v>26</x:v>
      </x:c>
      <x:c r="F9" s="11" t="str">
        <x:v>9月28日–10月9日</x:v>
      </x:c>
      <x:c r="G9" s="11" t="str">
        <x:v>两次复现、3–5 人试用、资源清单、扩展教程、报告和 3–5 分钟视频。</x:v>
      </x:c>
      <x:c r="H9" s="11" t="str">
        <x:v>E4/E5；S1/S3/S4/S5/S6</x:v>
      </x:c>
    </x:row>
    <x:row r="10" ht="87" customHeight="1">
      <x:c r="A10" s="14" t="str">
        <x:v>W6</x:v>
      </x:c>
      <x:c r="B10" s="12" t="str">
        <x:v>故障修复与交付缓冲</x:v>
      </x:c>
      <x:c r="C10" s="20" t="n">
        <x:v>12</x:v>
      </x:c>
      <x:c r="D10" s="20" t="n">
        <x:v>10</x:v>
      </x:c>
      <x:c r="E10" s="16" t="n">
        <x:f>SUM(C10:D10)</x:f>
        <x:v>22</x:v>
      </x:c>
      <x:c r="F10" s="12" t="str">
        <x:v>10月4–12日</x:v>
      </x:c>
      <x:c r="G10" s="12" t="str">
        <x:v>解决环境和联调问题；10月9日冻结功能，10月10–12日只修阻断并检查提交包。</x:v>
      </x:c>
      <x:c r="H10" s="12" t="str">
        <x:v>缓冲不能预先分给新功能</x:v>
      </x:c>
    </x:row>
    <x:row r="11" ht="27" customHeight="1">
      <x:c r="A11" s="23" t="str">
        <x:v>合计</x:v>
      </x:c>
      <x:c r="B11" s="23" t="str">
        <x:v>含 22 人时缓冲</x:v>
      </x:c>
      <x:c r="C11" s="24" t="n">
        <x:f>SUM(C5:C10)</x:f>
        <x:v>100</x:v>
      </x:c>
      <x:c r="D11" s="24" t="n">
        <x:f>SUM(D5:D10)</x:f>
        <x:v>50</x:v>
      </x:c>
      <x:c r="E11" s="24" t="n">
        <x:f>SUM(E5:E10)</x:f>
        <x:v>150</x:v>
      </x:c>
      <x:c r="F11" s="23"/>
      <x:c r="G11" s="23"/>
      <x:c r="H11" s="23"/>
    </x:row>
    <x:row r="13" ht="27" customHeight="1">
      <x:c r="A13" s="10" t="str">
        <x:v>容量假设</x:v>
      </x:c>
      <x:c r="B13" s="10" t="str">
        <x:v>数值</x:v>
      </x:c>
      <x:c r="C13" s="10" t="str">
        <x:v>单位</x:v>
      </x:c>
      <x:c r="D13" s="10" t="str">
        <x:v>说明</x:v>
      </x:c>
      <x:c r="F13" s="10" t="str">
        <x:v>本期主动砍掉</x:v>
      </x:c>
      <x:c r="G13" s="10" t="str">
        <x:v>原因及替代</x:v>
      </x:c>
      <x:c r="H13" s="10" t="str">
        <x:v>重新考虑条件</x:v>
      </x:c>
    </x:row>
    <x:row r="14" ht="63" customHeight="1">
      <x:c r="A14" s="3" t="str">
        <x:v>规划开始</x:v>
      </x:c>
      <x:c r="B14" s="35" t="n">
        <x:v>46271</x:v>
      </x:c>
      <x:c r="C14" s="3" t="str">
        <x:v>日期</x:v>
      </x:c>
      <x:c r="D14" s="3" t="str">
        <x:v>按剩余日历时间估算，不计已投入时间</x:v>
      </x:c>
      <x:c r="F14" s="3" t="str">
        <x:v>从需求到任意 PCB 全自动生成</x:v>
      </x:c>
      <x:c r="G14" s="3" t="str">
        <x:v>跨度大，难做独立验收；集中在已有设计的检查与有限修复。</x:v>
      </x:c>
      <x:c r="H14" s="3" t="str">
        <x:v>赛后另立项目目标</x:v>
      </x:c>
    </x:row>
    <x:row r="15" ht="63" customHeight="1">
      <x:c r="A15" s="3" t="str">
        <x:v>用户截止</x:v>
      </x:c>
      <x:c r="B15" s="35" t="n">
        <x:v>46307</x:v>
      </x:c>
      <x:c r="C15" s="3" t="str">
        <x:v>日期</x:v>
      </x:c>
      <x:c r="D15" s="3" t="str">
        <x:v>遵循 10 月 12 日内部交付目标</x:v>
      </x:c>
      <x:c r="F15" s="3" t="str">
        <x:v>模型微调、RL、复杂搜索</x:v>
      </x:c>
      <x:c r="G15" s="3" t="str">
        <x:v>无现成训练资源与比较基线；先测简单循环的真实收益。</x:v>
      </x:c>
      <x:c r="H15" s="3" t="str">
        <x:v>简单方法的瓶颈有实验支持</x:v>
      </x:c>
    </x:row>
    <x:row r="16" ht="63" customHeight="1">
      <x:c r="A16" s="3" t="str">
        <x:v>你每周下限</x:v>
      </x:c>
      <x:c r="B16" s="20" t="n">
        <x:v>20</x:v>
      </x:c>
      <x:c r="C16" s="3" t="str">
        <x:v>小时/周</x:v>
      </x:c>
      <x:c r="D16" s="3" t="str">
        <x:v>可修改</x:v>
      </x:c>
      <x:c r="F16" s="3" t="str">
        <x:v>多 Agent 编排平台</x:v>
      </x:c>
      <x:c r="G16" s="3" t="str">
        <x:v>Agent 数量不是评分证据；一条稳定流程更容易复现。</x:v>
      </x:c>
      <x:c r="H16" s="3" t="str">
        <x:v>串行流程的局限已被实际任务证明</x:v>
      </x:c>
    </x:row>
    <x:row r="17" ht="63" customHeight="1">
      <x:c r="A17" s="3" t="str">
        <x:v>你每周上限</x:v>
      </x:c>
      <x:c r="B17" s="20" t="n">
        <x:v>30</x:v>
      </x:c>
      <x:c r="C17" s="3" t="str">
        <x:v>小时/周</x:v>
      </x:c>
      <x:c r="D17" s="3" t="str">
        <x:v>可修改</x:v>
      </x:c>
      <x:c r="F17" s="3" t="str">
        <x:v>全自动资料爬取与大 RAG</x:v>
      </x:c>
      <x:c r="G17" s="3" t="str">
        <x:v>关键事实正确性优先；人工核验少量资料并提供来源。</x:v>
      </x:c>
      <x:c r="H17" s="3" t="str">
        <x:v>小库有效，新增规模成为主要瓶颈</x:v>
      </x:c>
    </x:row>
    <x:row r="18" ht="63" customHeight="1">
      <x:c r="A18" s="3" t="str">
        <x:v>搭档每周下限</x:v>
      </x:c>
      <x:c r="B18" s="20" t="n">
        <x:v>10</x:v>
      </x:c>
      <x:c r="C18" s="3" t="str">
        <x:v>小时/周</x:v>
      </x:c>
      <x:c r="D18" s="3" t="str">
        <x:v>可修改</x:v>
      </x:c>
      <x:c r="F18" s="3" t="str">
        <x:v>整板 SPICE、EMI、热与量产保证</x:v>
      </x:c>
      <x:c r="G18" s="3" t="str">
        <x:v>当前工具链与模型不足；明确判据范围，E6 只作可选子电路。</x:v>
      </x:c>
      <x:c r="H18" s="3" t="str">
        <x:v>有模型、仪器、条件和独立测量预算</x:v>
      </x:c>
    </x:row>
    <x:row r="19" ht="63" customHeight="1">
      <x:c r="A19" s="3" t="str">
        <x:v>搭档每周上限</x:v>
      </x:c>
      <x:c r="B19" s="20" t="n">
        <x:v>15</x:v>
      </x:c>
      <x:c r="C19" s="3" t="str">
        <x:v>小时/周</x:v>
      </x:c>
      <x:c r="D19" s="3" t="str">
        <x:v>可修改</x:v>
      </x:c>
      <x:c r="F19" s="3" t="str">
        <x:v>大界面、社区数据包装</x:v>
      </x:c>
      <x:c r="G19" s="3" t="str">
        <x:v>只展示错误、依据、补丁、重验结果；用真实复用记录证明开放价值。</x:v>
      </x:c>
      <x:c r="H19" s="3" t="str">
        <x:v>核心实验、发布与展示已完成</x:v>
      </x:c>
    </x:row>
    <x:row r="20" ht="63" customHeight="1">
      <x:c r="A20" s="3" t="str">
        <x:v>理论容量下限</x:v>
      </x:c>
      <x:c r="B20" s="34" t="n">
        <x:f>(B15-B14)/7*(B16+B18)</x:f>
        <x:v>154.2857142857143</x:v>
      </x:c>
      <x:c r="C20" s="3" t="str">
        <x:v>人时</x:v>
      </x:c>
      <x:c r="D20" s="3" t="str">
        <x:v>日历容量；不保证每天都能投入</x:v>
      </x:c>
      <x:c r="F20" s="3" t="str">
        <x:v>企业级信任与权限系统</x:v>
      </x:c>
      <x:c r="G20" s="3" t="str">
        <x:v>保留必要文件隔离、快照、错误停止；先补真实执行与检查链。</x:v>
      </x:c>
      <x:c r="H20" s="3" t="str">
        <x:v>真实多租户需求出现</x:v>
      </x:c>
    </x:row>
    <x:row r="21" ht="63" customHeight="1">
      <x:c r="A21" s="3" t="str">
        <x:v>理论容量上限</x:v>
      </x:c>
      <x:c r="B21" s="34" t="n">
        <x:f>(B15-B14)/7*(B17+B19)</x:f>
        <x:v>231.42857142857144</x:v>
      </x:c>
      <x:c r="C21" s="3" t="str">
        <x:v>人时</x:v>
      </x:c>
      <x:c r="D21" s="3" t="str">
        <x:v>额外能力优先增加稳定性与重复测量</x:v>
      </x:c>
    </x:row>
  </x:sheetData>
  <x:pageMargins left="0.7" right="0.7" top="0.75" bottom="0.75" header="0.3" footer="0.3"/>
  <x:tableParts count="1">
    <x:tablePart xmlns:r="http://schemas.openxmlformats.org/officeDocument/2006/relationships" r:id="R0453f147dda84e2d"/>
  </x:tableParts>
</x:worksheet>
</file>